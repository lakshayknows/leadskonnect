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lended Mix (Recommended)" sheetId="2" state="visible" r:id="rId2"/>
    <sheet xmlns:r="http://schemas.openxmlformats.org/officeDocument/2006/relationships" name="All Startup" sheetId="3" state="visible" r:id="rId3"/>
    <sheet xmlns:r="http://schemas.openxmlformats.org/officeDocument/2006/relationships" name="All Growth" sheetId="4" state="visible" r:id="rId4"/>
    <sheet xmlns:r="http://schemas.openxmlformats.org/officeDocument/2006/relationships" name="All Enterpri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"/>
    <numFmt numFmtId="165" formatCode="&quot;$&quot;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2937"/>
      <sz val="11"/>
    </font>
    <font>
      <sz val="10"/>
    </font>
    <font>
      <b val="1"/>
      <color rgb="00FFFFFF"/>
      <sz val="10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1" fontId="0" fillId="3" borderId="1" pivotButton="0" quotePrefix="0" xfId="0"/>
    <xf numFmtId="0" fontId="3" fillId="0" borderId="0" pivotButton="0" quotePrefix="0" xfId="0"/>
    <xf numFmtId="164" fontId="0" fillId="3" borderId="1" pivotButton="0" quotePrefix="0" xfId="0"/>
    <xf numFmtId="165" fontId="0" fillId="3" borderId="1" pivotButton="0" quotePrefix="0" xfId="0"/>
    <xf numFmtId="9" fontId="0" fillId="3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3" fontId="0" fillId="0" borderId="1" pivotButton="0" quotePrefix="0" xfId="0"/>
    <xf numFmtId="165" fontId="0" fillId="0" borderId="1" pivotButton="0" quotePrefix="0" xfId="0"/>
    <xf numFmtId="0" fontId="5" fillId="0" borderId="0" pivotButton="0" quotePrefix="0" xfId="0"/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4" customWidth="1" min="5" max="5"/>
    <col width="4" customWidth="1" min="6" max="6"/>
  </cols>
  <sheetData>
    <row r="1" ht="22" customHeight="1">
      <c r="A1" s="1" t="inlineStr">
        <is>
          <t>Followthroo — Cost &amp; Revenue Model: Assumptions</t>
        </is>
      </c>
    </row>
    <row r="3">
      <c r="A3" s="2" t="inlineStr">
        <is>
          <t>FX rate (₹ per $1)</t>
        </is>
      </c>
      <c r="B3" s="3" t="n">
        <v>87</v>
      </c>
    </row>
    <row r="5">
      <c r="A5" s="2" t="inlineStr">
        <is>
          <t>Tier pricing (₹ / user / month)</t>
        </is>
      </c>
    </row>
    <row r="6">
      <c r="A6" s="4" t="inlineStr">
        <is>
          <t>Startup</t>
        </is>
      </c>
      <c r="B6" s="5" t="n">
        <v>999</v>
      </c>
    </row>
    <row r="7">
      <c r="A7" s="4" t="inlineStr">
        <is>
          <t>Growth</t>
        </is>
      </c>
      <c r="B7" s="5" t="n">
        <v>2499</v>
      </c>
    </row>
    <row r="8">
      <c r="A8" s="4" t="inlineStr">
        <is>
          <t>Enterprise</t>
        </is>
      </c>
      <c r="B8" s="5" t="n">
        <v>4999</v>
      </c>
    </row>
    <row r="10">
      <c r="A10" s="2" t="inlineStr">
        <is>
          <t>AI cost per seat ($ / user / month — modeled, not measured; replace with real token usage once live)</t>
        </is>
      </c>
    </row>
    <row r="11">
      <c r="A11" s="4" t="inlineStr">
        <is>
          <t>Startup (Basic AI)</t>
        </is>
      </c>
      <c r="B11" s="6" t="n">
        <v>2.5</v>
      </c>
    </row>
    <row r="12">
      <c r="A12" s="4" t="inlineStr">
        <is>
          <t>Growth (Advanced AI)</t>
        </is>
      </c>
      <c r="B12" s="6" t="n">
        <v>6</v>
      </c>
    </row>
    <row r="13">
      <c r="A13" s="4" t="inlineStr">
        <is>
          <t>Enterprise (Custom AI)</t>
        </is>
      </c>
      <c r="B13" s="6" t="n">
        <v>9</v>
      </c>
    </row>
    <row r="15">
      <c r="A15" s="2" t="inlineStr">
        <is>
          <t>Blended plan mix (recommended funnel — Growth as hero tier)</t>
        </is>
      </c>
    </row>
    <row r="16">
      <c r="A16" s="4" t="inlineStr">
        <is>
          <t>Startup %</t>
        </is>
      </c>
      <c r="B16" s="7" t="n">
        <v>0.2</v>
      </c>
    </row>
    <row r="17">
      <c r="A17" s="4" t="inlineStr">
        <is>
          <t>Growth %</t>
        </is>
      </c>
      <c r="B17" s="7" t="n">
        <v>0.7</v>
      </c>
    </row>
    <row r="18">
      <c r="A18" s="4" t="inlineStr">
        <is>
          <t>Enterprise %</t>
        </is>
      </c>
      <c r="B18" s="7" t="n">
        <v>0.1</v>
      </c>
    </row>
    <row r="20">
      <c r="A20" s="2" t="inlineStr">
        <is>
          <t>Blended ARPU (₹ / user / month)</t>
        </is>
      </c>
      <c r="B20" s="8">
        <f>B16*B6+B17*B7+B18*B8</f>
        <v/>
      </c>
    </row>
    <row r="21">
      <c r="A21" s="2" t="inlineStr">
        <is>
          <t>Blended AI cost / seat ($ / user / month)</t>
        </is>
      </c>
      <c r="B21" s="9">
        <f>B16*B11+B17*B12+B18*B13</f>
        <v/>
      </c>
    </row>
    <row r="23">
      <c r="A23" s="2" t="inlineStr">
        <is>
          <t>Payment processing (Razorpay, % of revenue — domestic card/UPI + subscription fee, blended)</t>
        </is>
      </c>
      <c r="B23" s="7" t="n">
        <v>0.03</v>
      </c>
    </row>
    <row r="25">
      <c r="A25" s="2" t="inlineStr">
        <is>
          <t>Fixed platform infra by scale ($/month — Vercel + Supabase + Upstash Redis/QStash on Pay-as-you-go)</t>
        </is>
      </c>
    </row>
    <row r="26">
      <c r="A26" s="10" t="inlineStr">
        <is>
          <t>People (seats)</t>
        </is>
      </c>
      <c r="B26" s="10" t="inlineStr">
        <is>
          <t>Vercel ($)</t>
        </is>
      </c>
      <c r="C26" s="10" t="inlineStr">
        <is>
          <t>Supabase ($)</t>
        </is>
      </c>
      <c r="D26" s="10" t="inlineStr">
        <is>
          <t>Upstash ($)</t>
        </is>
      </c>
    </row>
    <row r="27">
      <c r="A27" s="11" t="n">
        <v>10</v>
      </c>
      <c r="B27" s="12" t="n">
        <v>20</v>
      </c>
      <c r="C27" s="12" t="n">
        <v>25</v>
      </c>
      <c r="D27" s="12" t="n">
        <v>2</v>
      </c>
    </row>
    <row r="28">
      <c r="A28" s="11" t="n">
        <v>25</v>
      </c>
      <c r="B28" s="12" t="n">
        <v>20</v>
      </c>
      <c r="C28" s="12" t="n">
        <v>25</v>
      </c>
      <c r="D28" s="12" t="n">
        <v>4</v>
      </c>
    </row>
    <row r="29">
      <c r="A29" s="11" t="n">
        <v>50</v>
      </c>
      <c r="B29" s="12" t="n">
        <v>20</v>
      </c>
      <c r="C29" s="12" t="n">
        <v>30</v>
      </c>
      <c r="D29" s="12" t="n">
        <v>7</v>
      </c>
    </row>
    <row r="30">
      <c r="A30" s="11" t="n">
        <v>100</v>
      </c>
      <c r="B30" s="12" t="n">
        <v>20</v>
      </c>
      <c r="C30" s="12" t="n">
        <v>40</v>
      </c>
      <c r="D30" s="12" t="n">
        <v>13</v>
      </c>
    </row>
    <row r="31">
      <c r="A31" s="11" t="n">
        <v>250</v>
      </c>
      <c r="B31" s="12" t="n">
        <v>40</v>
      </c>
      <c r="C31" s="12" t="n">
        <v>75</v>
      </c>
      <c r="D31" s="12" t="n">
        <v>30</v>
      </c>
    </row>
    <row r="32">
      <c r="A32" s="11" t="n">
        <v>500</v>
      </c>
      <c r="B32" s="12" t="n">
        <v>60</v>
      </c>
      <c r="C32" s="12" t="n">
        <v>140</v>
      </c>
      <c r="D32" s="12" t="n">
        <v>58</v>
      </c>
    </row>
    <row r="33">
      <c r="A33" s="11" t="n">
        <v>1000</v>
      </c>
      <c r="B33" s="12" t="n">
        <v>100</v>
      </c>
      <c r="C33" s="12" t="n">
        <v>230</v>
      </c>
      <c r="D33" s="12" t="n">
        <v>105</v>
      </c>
    </row>
    <row r="35">
      <c r="A35" s="2" t="inlineStr">
        <is>
          <t>Notes:</t>
        </is>
      </c>
    </row>
    <row r="36">
      <c r="A36" s="13" t="inlineStr">
        <is>
          <t>• AI cost is a bottom-up model (Claude Opus 5 agent-loop invocations + Claude Haiku 4.5 reply classifier), not measured usage — the single biggest swing factor in this workbook.</t>
        </is>
      </c>
    </row>
    <row r="37">
      <c r="A37" s="13" t="inlineStr">
        <is>
          <t>• Infra figures assume Pay-as-you-go on Upstash (Redis + QStash) and a lean team (1–4 Vercel seats as headcount grows with scale), not a fixed team-seat count.</t>
        </is>
      </c>
    </row>
    <row r="38">
      <c r="A38" s="13" t="inlineStr">
        <is>
          <t>• Payment processing modeled as Razorpay (India-first): ~2% + GST domestic + ~1% subscription fee → blended ~3% of revenue.</t>
        </is>
      </c>
    </row>
    <row r="39">
      <c r="A39" s="13" t="inlineStr">
        <is>
          <t>• Infra is modeled as a function of total seats regardless of plan mix, as a simplification — a Growth/Enterprise-heavy base would run somewhat higher due to more automation activity.</t>
        </is>
      </c>
    </row>
    <row r="40">
      <c r="A40" s="13" t="inlineStr">
        <is>
          <t>• All dollar figures pulled from live pricing research on 2026-08-14 — re-verify before using for real financial planning; these rates drift.</t>
        </is>
      </c>
    </row>
    <row r="41">
      <c r="A41" s="13" t="inlineStr">
        <is>
          <t>• Change any yellow input cell (FX rate, tier prices, AI $/seat, plan mix, payment %) and every scenario sheet recalculates automatically.</t>
        </is>
      </c>
    </row>
  </sheetData>
  <mergeCells count="8">
    <mergeCell ref="A38:F38"/>
    <mergeCell ref="A1:D1"/>
    <mergeCell ref="A41:F41"/>
    <mergeCell ref="A36:F36"/>
    <mergeCell ref="A37:F37"/>
    <mergeCell ref="A40:F40"/>
    <mergeCell ref="A35:F35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9" customWidth="1" min="3" max="3"/>
    <col width="11" customWidth="1" min="4" max="4"/>
    <col width="10" customWidth="1" min="5" max="5"/>
    <col width="15" customWidth="1" min="6" max="6"/>
    <col width="13" customWidth="1" min="7" max="7"/>
    <col width="17" customWidth="1" min="8" max="8"/>
    <col width="14" customWidth="1" min="9" max="9"/>
    <col width="15" customWidth="1" min="10" max="10"/>
    <col width="12" customWidth="1" min="11" max="11"/>
  </cols>
  <sheetData>
    <row r="1" ht="22" customHeight="1">
      <c r="A1" s="1" t="inlineStr">
        <is>
          <t>Followthroo — Blended Mix (Recommended)</t>
        </is>
      </c>
    </row>
    <row r="2">
      <c r="A2" s="13" t="inlineStr">
        <is>
          <t>Assumes the recommended funnel mix: 20% Startup / 70% Growth / 10% Enterprise seats — the primary scenario to plan around.</t>
        </is>
      </c>
    </row>
    <row r="4" ht="32" customHeight="1">
      <c r="A4" s="10" t="inlineStr">
        <is>
          <t>People
(seats)</t>
        </is>
      </c>
      <c r="B4" s="10" t="inlineStr">
        <is>
          <t>Revenue
(₹/mo)</t>
        </is>
      </c>
      <c r="C4" s="10" t="inlineStr">
        <is>
          <t>Vercel
($)</t>
        </is>
      </c>
      <c r="D4" s="10" t="inlineStr">
        <is>
          <t>Supabase
($)</t>
        </is>
      </c>
      <c r="E4" s="10" t="inlineStr">
        <is>
          <t>Upstash
($)</t>
        </is>
      </c>
      <c r="F4" s="10" t="inlineStr">
        <is>
          <t>Infra Subtotal
(₹/mo)</t>
        </is>
      </c>
      <c r="G4" s="10" t="inlineStr">
        <is>
          <t>AI Cost
(₹/mo)</t>
        </is>
      </c>
      <c r="H4" s="10" t="inlineStr">
        <is>
          <t>Payment Processing
(₹/mo)</t>
        </is>
      </c>
      <c r="I4" s="10" t="inlineStr">
        <is>
          <t>Total Cost
(₹/mo)</t>
        </is>
      </c>
      <c r="J4" s="10" t="inlineStr">
        <is>
          <t>Gross Margin
(₹/mo)</t>
        </is>
      </c>
      <c r="K4" s="10" t="inlineStr">
        <is>
          <t>Gross Margin
(%)</t>
        </is>
      </c>
    </row>
    <row r="5">
      <c r="A5" s="14">
        <f>Assumptions!A27</f>
        <v/>
      </c>
      <c r="B5" s="15">
        <f>A5*Assumptions!$B$20</f>
        <v/>
      </c>
      <c r="C5" s="16">
        <f>Assumptions!B27</f>
        <v/>
      </c>
      <c r="D5" s="16">
        <f>Assumptions!C27</f>
        <v/>
      </c>
      <c r="E5" s="16">
        <f>Assumptions!D27</f>
        <v/>
      </c>
      <c r="F5" s="15">
        <f>(C5+D5+E5)*Assumptions!$B$3</f>
        <v/>
      </c>
      <c r="G5" s="15">
        <f>A5*Assumptions!$B$21*Assumptions!$B$3</f>
        <v/>
      </c>
      <c r="H5" s="15">
        <f>B5*Assumptions!$B$23</f>
        <v/>
      </c>
      <c r="I5" s="15">
        <f>F5+G5+H5</f>
        <v/>
      </c>
      <c r="J5" s="15">
        <f>B5-I5</f>
        <v/>
      </c>
      <c r="K5" s="17">
        <f>J5/B5</f>
        <v/>
      </c>
    </row>
    <row r="6">
      <c r="A6" s="14">
        <f>Assumptions!A28</f>
        <v/>
      </c>
      <c r="B6" s="15">
        <f>A6*Assumptions!$B$20</f>
        <v/>
      </c>
      <c r="C6" s="16">
        <f>Assumptions!B28</f>
        <v/>
      </c>
      <c r="D6" s="16">
        <f>Assumptions!C28</f>
        <v/>
      </c>
      <c r="E6" s="16">
        <f>Assumptions!D28</f>
        <v/>
      </c>
      <c r="F6" s="15">
        <f>(C6+D6+E6)*Assumptions!$B$3</f>
        <v/>
      </c>
      <c r="G6" s="15">
        <f>A6*Assumptions!$B$21*Assumptions!$B$3</f>
        <v/>
      </c>
      <c r="H6" s="15">
        <f>B6*Assumptions!$B$23</f>
        <v/>
      </c>
      <c r="I6" s="15">
        <f>F6+G6+H6</f>
        <v/>
      </c>
      <c r="J6" s="15">
        <f>B6-I6</f>
        <v/>
      </c>
      <c r="K6" s="17">
        <f>J6/B6</f>
        <v/>
      </c>
    </row>
    <row r="7">
      <c r="A7" s="14">
        <f>Assumptions!A29</f>
        <v/>
      </c>
      <c r="B7" s="15">
        <f>A7*Assumptions!$B$20</f>
        <v/>
      </c>
      <c r="C7" s="16">
        <f>Assumptions!B29</f>
        <v/>
      </c>
      <c r="D7" s="16">
        <f>Assumptions!C29</f>
        <v/>
      </c>
      <c r="E7" s="16">
        <f>Assumptions!D29</f>
        <v/>
      </c>
      <c r="F7" s="15">
        <f>(C7+D7+E7)*Assumptions!$B$3</f>
        <v/>
      </c>
      <c r="G7" s="15">
        <f>A7*Assumptions!$B$21*Assumptions!$B$3</f>
        <v/>
      </c>
      <c r="H7" s="15">
        <f>B7*Assumptions!$B$23</f>
        <v/>
      </c>
      <c r="I7" s="15">
        <f>F7+G7+H7</f>
        <v/>
      </c>
      <c r="J7" s="15">
        <f>B7-I7</f>
        <v/>
      </c>
      <c r="K7" s="17">
        <f>J7/B7</f>
        <v/>
      </c>
    </row>
    <row r="8">
      <c r="A8" s="14">
        <f>Assumptions!A30</f>
        <v/>
      </c>
      <c r="B8" s="15">
        <f>A8*Assumptions!$B$20</f>
        <v/>
      </c>
      <c r="C8" s="16">
        <f>Assumptions!B30</f>
        <v/>
      </c>
      <c r="D8" s="16">
        <f>Assumptions!C30</f>
        <v/>
      </c>
      <c r="E8" s="16">
        <f>Assumptions!D30</f>
        <v/>
      </c>
      <c r="F8" s="15">
        <f>(C8+D8+E8)*Assumptions!$B$3</f>
        <v/>
      </c>
      <c r="G8" s="15">
        <f>A8*Assumptions!$B$21*Assumptions!$B$3</f>
        <v/>
      </c>
      <c r="H8" s="15">
        <f>B8*Assumptions!$B$23</f>
        <v/>
      </c>
      <c r="I8" s="15">
        <f>F8+G8+H8</f>
        <v/>
      </c>
      <c r="J8" s="15">
        <f>B8-I8</f>
        <v/>
      </c>
      <c r="K8" s="17">
        <f>J8/B8</f>
        <v/>
      </c>
    </row>
    <row r="9">
      <c r="A9" s="14">
        <f>Assumptions!A31</f>
        <v/>
      </c>
      <c r="B9" s="15">
        <f>A9*Assumptions!$B$20</f>
        <v/>
      </c>
      <c r="C9" s="16">
        <f>Assumptions!B31</f>
        <v/>
      </c>
      <c r="D9" s="16">
        <f>Assumptions!C31</f>
        <v/>
      </c>
      <c r="E9" s="16">
        <f>Assumptions!D31</f>
        <v/>
      </c>
      <c r="F9" s="15">
        <f>(C9+D9+E9)*Assumptions!$B$3</f>
        <v/>
      </c>
      <c r="G9" s="15">
        <f>A9*Assumptions!$B$21*Assumptions!$B$3</f>
        <v/>
      </c>
      <c r="H9" s="15">
        <f>B9*Assumptions!$B$23</f>
        <v/>
      </c>
      <c r="I9" s="15">
        <f>F9+G9+H9</f>
        <v/>
      </c>
      <c r="J9" s="15">
        <f>B9-I9</f>
        <v/>
      </c>
      <c r="K9" s="17">
        <f>J9/B9</f>
        <v/>
      </c>
    </row>
    <row r="10">
      <c r="A10" s="14">
        <f>Assumptions!A32</f>
        <v/>
      </c>
      <c r="B10" s="15">
        <f>A10*Assumptions!$B$20</f>
        <v/>
      </c>
      <c r="C10" s="16">
        <f>Assumptions!B32</f>
        <v/>
      </c>
      <c r="D10" s="16">
        <f>Assumptions!C32</f>
        <v/>
      </c>
      <c r="E10" s="16">
        <f>Assumptions!D32</f>
        <v/>
      </c>
      <c r="F10" s="15">
        <f>(C10+D10+E10)*Assumptions!$B$3</f>
        <v/>
      </c>
      <c r="G10" s="15">
        <f>A10*Assumptions!$B$21*Assumptions!$B$3</f>
        <v/>
      </c>
      <c r="H10" s="15">
        <f>B10*Assumptions!$B$23</f>
        <v/>
      </c>
      <c r="I10" s="15">
        <f>F10+G10+H10</f>
        <v/>
      </c>
      <c r="J10" s="15">
        <f>B10-I10</f>
        <v/>
      </c>
      <c r="K10" s="17">
        <f>J10/B10</f>
        <v/>
      </c>
    </row>
    <row r="11">
      <c r="A11" s="14">
        <f>Assumptions!A33</f>
        <v/>
      </c>
      <c r="B11" s="15">
        <f>A11*Assumptions!$B$20</f>
        <v/>
      </c>
      <c r="C11" s="16">
        <f>Assumptions!B33</f>
        <v/>
      </c>
      <c r="D11" s="16">
        <f>Assumptions!C33</f>
        <v/>
      </c>
      <c r="E11" s="16">
        <f>Assumptions!D33</f>
        <v/>
      </c>
      <c r="F11" s="15">
        <f>(C11+D11+E11)*Assumptions!$B$3</f>
        <v/>
      </c>
      <c r="G11" s="15">
        <f>A11*Assumptions!$B$21*Assumptions!$B$3</f>
        <v/>
      </c>
      <c r="H11" s="15">
        <f>B11*Assumptions!$B$23</f>
        <v/>
      </c>
      <c r="I11" s="15">
        <f>F11+G11+H11</f>
        <v/>
      </c>
      <c r="J11" s="15">
        <f>B11-I11</f>
        <v/>
      </c>
      <c r="K11" s="17">
        <f>J11/B11</f>
        <v/>
      </c>
    </row>
  </sheetData>
  <mergeCells count="2">
    <mergeCell ref="A2:K2"/>
    <mergeCell ref="A1:K1"/>
  </mergeCells>
  <conditionalFormatting sqref="K5:K1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9" customWidth="1" min="3" max="3"/>
    <col width="11" customWidth="1" min="4" max="4"/>
    <col width="10" customWidth="1" min="5" max="5"/>
    <col width="15" customWidth="1" min="6" max="6"/>
    <col width="13" customWidth="1" min="7" max="7"/>
    <col width="17" customWidth="1" min="8" max="8"/>
    <col width="14" customWidth="1" min="9" max="9"/>
    <col width="15" customWidth="1" min="10" max="10"/>
    <col width="12" customWidth="1" min="11" max="11"/>
  </cols>
  <sheetData>
    <row r="1" ht="22" customHeight="1">
      <c r="A1" s="1" t="inlineStr">
        <is>
          <t>Followthroo — All Startup</t>
        </is>
      </c>
    </row>
    <row r="2">
      <c r="A2" s="13" t="inlineStr">
        <is>
          <t>Reference scenario: every seat on the ₹999 Startup plan (floor case — worst realistic margin).</t>
        </is>
      </c>
    </row>
    <row r="4" ht="32" customHeight="1">
      <c r="A4" s="10" t="inlineStr">
        <is>
          <t>People
(seats)</t>
        </is>
      </c>
      <c r="B4" s="10" t="inlineStr">
        <is>
          <t>Revenue
(₹/mo)</t>
        </is>
      </c>
      <c r="C4" s="10" t="inlineStr">
        <is>
          <t>Vercel
($)</t>
        </is>
      </c>
      <c r="D4" s="10" t="inlineStr">
        <is>
          <t>Supabase
($)</t>
        </is>
      </c>
      <c r="E4" s="10" t="inlineStr">
        <is>
          <t>Upstash
($)</t>
        </is>
      </c>
      <c r="F4" s="10" t="inlineStr">
        <is>
          <t>Infra Subtotal
(₹/mo)</t>
        </is>
      </c>
      <c r="G4" s="10" t="inlineStr">
        <is>
          <t>AI Cost
(₹/mo)</t>
        </is>
      </c>
      <c r="H4" s="10" t="inlineStr">
        <is>
          <t>Payment Processing
(₹/mo)</t>
        </is>
      </c>
      <c r="I4" s="10" t="inlineStr">
        <is>
          <t>Total Cost
(₹/mo)</t>
        </is>
      </c>
      <c r="J4" s="10" t="inlineStr">
        <is>
          <t>Gross Margin
(₹/mo)</t>
        </is>
      </c>
      <c r="K4" s="10" t="inlineStr">
        <is>
          <t>Gross Margin
(%)</t>
        </is>
      </c>
    </row>
    <row r="5">
      <c r="A5" s="14">
        <f>Assumptions!A27</f>
        <v/>
      </c>
      <c r="B5" s="15">
        <f>A5*Assumptions!$B$6</f>
        <v/>
      </c>
      <c r="C5" s="16">
        <f>Assumptions!B27</f>
        <v/>
      </c>
      <c r="D5" s="16">
        <f>Assumptions!C27</f>
        <v/>
      </c>
      <c r="E5" s="16">
        <f>Assumptions!D27</f>
        <v/>
      </c>
      <c r="F5" s="15">
        <f>(C5+D5+E5)*Assumptions!$B$3</f>
        <v/>
      </c>
      <c r="G5" s="15">
        <f>A5*Assumptions!$B$11*Assumptions!$B$3</f>
        <v/>
      </c>
      <c r="H5" s="15">
        <f>B5*Assumptions!$B$23</f>
        <v/>
      </c>
      <c r="I5" s="15">
        <f>F5+G5+H5</f>
        <v/>
      </c>
      <c r="J5" s="15">
        <f>B5-I5</f>
        <v/>
      </c>
      <c r="K5" s="17">
        <f>J5/B5</f>
        <v/>
      </c>
    </row>
    <row r="6">
      <c r="A6" s="14">
        <f>Assumptions!A28</f>
        <v/>
      </c>
      <c r="B6" s="15">
        <f>A6*Assumptions!$B$6</f>
        <v/>
      </c>
      <c r="C6" s="16">
        <f>Assumptions!B28</f>
        <v/>
      </c>
      <c r="D6" s="16">
        <f>Assumptions!C28</f>
        <v/>
      </c>
      <c r="E6" s="16">
        <f>Assumptions!D28</f>
        <v/>
      </c>
      <c r="F6" s="15">
        <f>(C6+D6+E6)*Assumptions!$B$3</f>
        <v/>
      </c>
      <c r="G6" s="15">
        <f>A6*Assumptions!$B$11*Assumptions!$B$3</f>
        <v/>
      </c>
      <c r="H6" s="15">
        <f>B6*Assumptions!$B$23</f>
        <v/>
      </c>
      <c r="I6" s="15">
        <f>F6+G6+H6</f>
        <v/>
      </c>
      <c r="J6" s="15">
        <f>B6-I6</f>
        <v/>
      </c>
      <c r="K6" s="17">
        <f>J6/B6</f>
        <v/>
      </c>
    </row>
    <row r="7">
      <c r="A7" s="14">
        <f>Assumptions!A29</f>
        <v/>
      </c>
      <c r="B7" s="15">
        <f>A7*Assumptions!$B$6</f>
        <v/>
      </c>
      <c r="C7" s="16">
        <f>Assumptions!B29</f>
        <v/>
      </c>
      <c r="D7" s="16">
        <f>Assumptions!C29</f>
        <v/>
      </c>
      <c r="E7" s="16">
        <f>Assumptions!D29</f>
        <v/>
      </c>
      <c r="F7" s="15">
        <f>(C7+D7+E7)*Assumptions!$B$3</f>
        <v/>
      </c>
      <c r="G7" s="15">
        <f>A7*Assumptions!$B$11*Assumptions!$B$3</f>
        <v/>
      </c>
      <c r="H7" s="15">
        <f>B7*Assumptions!$B$23</f>
        <v/>
      </c>
      <c r="I7" s="15">
        <f>F7+G7+H7</f>
        <v/>
      </c>
      <c r="J7" s="15">
        <f>B7-I7</f>
        <v/>
      </c>
      <c r="K7" s="17">
        <f>J7/B7</f>
        <v/>
      </c>
    </row>
    <row r="8">
      <c r="A8" s="14">
        <f>Assumptions!A30</f>
        <v/>
      </c>
      <c r="B8" s="15">
        <f>A8*Assumptions!$B$6</f>
        <v/>
      </c>
      <c r="C8" s="16">
        <f>Assumptions!B30</f>
        <v/>
      </c>
      <c r="D8" s="16">
        <f>Assumptions!C30</f>
        <v/>
      </c>
      <c r="E8" s="16">
        <f>Assumptions!D30</f>
        <v/>
      </c>
      <c r="F8" s="15">
        <f>(C8+D8+E8)*Assumptions!$B$3</f>
        <v/>
      </c>
      <c r="G8" s="15">
        <f>A8*Assumptions!$B$11*Assumptions!$B$3</f>
        <v/>
      </c>
      <c r="H8" s="15">
        <f>B8*Assumptions!$B$23</f>
        <v/>
      </c>
      <c r="I8" s="15">
        <f>F8+G8+H8</f>
        <v/>
      </c>
      <c r="J8" s="15">
        <f>B8-I8</f>
        <v/>
      </c>
      <c r="K8" s="17">
        <f>J8/B8</f>
        <v/>
      </c>
    </row>
    <row r="9">
      <c r="A9" s="14">
        <f>Assumptions!A31</f>
        <v/>
      </c>
      <c r="B9" s="15">
        <f>A9*Assumptions!$B$6</f>
        <v/>
      </c>
      <c r="C9" s="16">
        <f>Assumptions!B31</f>
        <v/>
      </c>
      <c r="D9" s="16">
        <f>Assumptions!C31</f>
        <v/>
      </c>
      <c r="E9" s="16">
        <f>Assumptions!D31</f>
        <v/>
      </c>
      <c r="F9" s="15">
        <f>(C9+D9+E9)*Assumptions!$B$3</f>
        <v/>
      </c>
      <c r="G9" s="15">
        <f>A9*Assumptions!$B$11*Assumptions!$B$3</f>
        <v/>
      </c>
      <c r="H9" s="15">
        <f>B9*Assumptions!$B$23</f>
        <v/>
      </c>
      <c r="I9" s="15">
        <f>F9+G9+H9</f>
        <v/>
      </c>
      <c r="J9" s="15">
        <f>B9-I9</f>
        <v/>
      </c>
      <c r="K9" s="17">
        <f>J9/B9</f>
        <v/>
      </c>
    </row>
    <row r="10">
      <c r="A10" s="14">
        <f>Assumptions!A32</f>
        <v/>
      </c>
      <c r="B10" s="15">
        <f>A10*Assumptions!$B$6</f>
        <v/>
      </c>
      <c r="C10" s="16">
        <f>Assumptions!B32</f>
        <v/>
      </c>
      <c r="D10" s="16">
        <f>Assumptions!C32</f>
        <v/>
      </c>
      <c r="E10" s="16">
        <f>Assumptions!D32</f>
        <v/>
      </c>
      <c r="F10" s="15">
        <f>(C10+D10+E10)*Assumptions!$B$3</f>
        <v/>
      </c>
      <c r="G10" s="15">
        <f>A10*Assumptions!$B$11*Assumptions!$B$3</f>
        <v/>
      </c>
      <c r="H10" s="15">
        <f>B10*Assumptions!$B$23</f>
        <v/>
      </c>
      <c r="I10" s="15">
        <f>F10+G10+H10</f>
        <v/>
      </c>
      <c r="J10" s="15">
        <f>B10-I10</f>
        <v/>
      </c>
      <c r="K10" s="17">
        <f>J10/B10</f>
        <v/>
      </c>
    </row>
    <row r="11">
      <c r="A11" s="14">
        <f>Assumptions!A33</f>
        <v/>
      </c>
      <c r="B11" s="15">
        <f>A11*Assumptions!$B$6</f>
        <v/>
      </c>
      <c r="C11" s="16">
        <f>Assumptions!B33</f>
        <v/>
      </c>
      <c r="D11" s="16">
        <f>Assumptions!C33</f>
        <v/>
      </c>
      <c r="E11" s="16">
        <f>Assumptions!D33</f>
        <v/>
      </c>
      <c r="F11" s="15">
        <f>(C11+D11+E11)*Assumptions!$B$3</f>
        <v/>
      </c>
      <c r="G11" s="15">
        <f>A11*Assumptions!$B$11*Assumptions!$B$3</f>
        <v/>
      </c>
      <c r="H11" s="15">
        <f>B11*Assumptions!$B$23</f>
        <v/>
      </c>
      <c r="I11" s="15">
        <f>F11+G11+H11</f>
        <v/>
      </c>
      <c r="J11" s="15">
        <f>B11-I11</f>
        <v/>
      </c>
      <c r="K11" s="17">
        <f>J11/B11</f>
        <v/>
      </c>
    </row>
  </sheetData>
  <mergeCells count="2">
    <mergeCell ref="A2:K2"/>
    <mergeCell ref="A1:K1"/>
  </mergeCells>
  <conditionalFormatting sqref="K5:K1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9" customWidth="1" min="3" max="3"/>
    <col width="11" customWidth="1" min="4" max="4"/>
    <col width="10" customWidth="1" min="5" max="5"/>
    <col width="15" customWidth="1" min="6" max="6"/>
    <col width="13" customWidth="1" min="7" max="7"/>
    <col width="17" customWidth="1" min="8" max="8"/>
    <col width="14" customWidth="1" min="9" max="9"/>
    <col width="15" customWidth="1" min="10" max="10"/>
    <col width="12" customWidth="1" min="11" max="11"/>
  </cols>
  <sheetData>
    <row r="1" ht="22" customHeight="1">
      <c r="A1" s="1" t="inlineStr">
        <is>
          <t>Followthroo — All Growth</t>
        </is>
      </c>
    </row>
    <row r="2">
      <c r="A2" s="13" t="inlineStr">
        <is>
          <t>Reference scenario: every seat on the ₹2,499 Growth (hero) plan.</t>
        </is>
      </c>
    </row>
    <row r="4" ht="32" customHeight="1">
      <c r="A4" s="10" t="inlineStr">
        <is>
          <t>People
(seats)</t>
        </is>
      </c>
      <c r="B4" s="10" t="inlineStr">
        <is>
          <t>Revenue
(₹/mo)</t>
        </is>
      </c>
      <c r="C4" s="10" t="inlineStr">
        <is>
          <t>Vercel
($)</t>
        </is>
      </c>
      <c r="D4" s="10" t="inlineStr">
        <is>
          <t>Supabase
($)</t>
        </is>
      </c>
      <c r="E4" s="10" t="inlineStr">
        <is>
          <t>Upstash
($)</t>
        </is>
      </c>
      <c r="F4" s="10" t="inlineStr">
        <is>
          <t>Infra Subtotal
(₹/mo)</t>
        </is>
      </c>
      <c r="G4" s="10" t="inlineStr">
        <is>
          <t>AI Cost
(₹/mo)</t>
        </is>
      </c>
      <c r="H4" s="10" t="inlineStr">
        <is>
          <t>Payment Processing
(₹/mo)</t>
        </is>
      </c>
      <c r="I4" s="10" t="inlineStr">
        <is>
          <t>Total Cost
(₹/mo)</t>
        </is>
      </c>
      <c r="J4" s="10" t="inlineStr">
        <is>
          <t>Gross Margin
(₹/mo)</t>
        </is>
      </c>
      <c r="K4" s="10" t="inlineStr">
        <is>
          <t>Gross Margin
(%)</t>
        </is>
      </c>
    </row>
    <row r="5">
      <c r="A5" s="14">
        <f>Assumptions!A27</f>
        <v/>
      </c>
      <c r="B5" s="15">
        <f>A5*Assumptions!$B$7</f>
        <v/>
      </c>
      <c r="C5" s="16">
        <f>Assumptions!B27</f>
        <v/>
      </c>
      <c r="D5" s="16">
        <f>Assumptions!C27</f>
        <v/>
      </c>
      <c r="E5" s="16">
        <f>Assumptions!D27</f>
        <v/>
      </c>
      <c r="F5" s="15">
        <f>(C5+D5+E5)*Assumptions!$B$3</f>
        <v/>
      </c>
      <c r="G5" s="15">
        <f>A5*Assumptions!$B$12*Assumptions!$B$3</f>
        <v/>
      </c>
      <c r="H5" s="15">
        <f>B5*Assumptions!$B$23</f>
        <v/>
      </c>
      <c r="I5" s="15">
        <f>F5+G5+H5</f>
        <v/>
      </c>
      <c r="J5" s="15">
        <f>B5-I5</f>
        <v/>
      </c>
      <c r="K5" s="17">
        <f>J5/B5</f>
        <v/>
      </c>
    </row>
    <row r="6">
      <c r="A6" s="14">
        <f>Assumptions!A28</f>
        <v/>
      </c>
      <c r="B6" s="15">
        <f>A6*Assumptions!$B$7</f>
        <v/>
      </c>
      <c r="C6" s="16">
        <f>Assumptions!B28</f>
        <v/>
      </c>
      <c r="D6" s="16">
        <f>Assumptions!C28</f>
        <v/>
      </c>
      <c r="E6" s="16">
        <f>Assumptions!D28</f>
        <v/>
      </c>
      <c r="F6" s="15">
        <f>(C6+D6+E6)*Assumptions!$B$3</f>
        <v/>
      </c>
      <c r="G6" s="15">
        <f>A6*Assumptions!$B$12*Assumptions!$B$3</f>
        <v/>
      </c>
      <c r="H6" s="15">
        <f>B6*Assumptions!$B$23</f>
        <v/>
      </c>
      <c r="I6" s="15">
        <f>F6+G6+H6</f>
        <v/>
      </c>
      <c r="J6" s="15">
        <f>B6-I6</f>
        <v/>
      </c>
      <c r="K6" s="17">
        <f>J6/B6</f>
        <v/>
      </c>
    </row>
    <row r="7">
      <c r="A7" s="14">
        <f>Assumptions!A29</f>
        <v/>
      </c>
      <c r="B7" s="15">
        <f>A7*Assumptions!$B$7</f>
        <v/>
      </c>
      <c r="C7" s="16">
        <f>Assumptions!B29</f>
        <v/>
      </c>
      <c r="D7" s="16">
        <f>Assumptions!C29</f>
        <v/>
      </c>
      <c r="E7" s="16">
        <f>Assumptions!D29</f>
        <v/>
      </c>
      <c r="F7" s="15">
        <f>(C7+D7+E7)*Assumptions!$B$3</f>
        <v/>
      </c>
      <c r="G7" s="15">
        <f>A7*Assumptions!$B$12*Assumptions!$B$3</f>
        <v/>
      </c>
      <c r="H7" s="15">
        <f>B7*Assumptions!$B$23</f>
        <v/>
      </c>
      <c r="I7" s="15">
        <f>F7+G7+H7</f>
        <v/>
      </c>
      <c r="J7" s="15">
        <f>B7-I7</f>
        <v/>
      </c>
      <c r="K7" s="17">
        <f>J7/B7</f>
        <v/>
      </c>
    </row>
    <row r="8">
      <c r="A8" s="14">
        <f>Assumptions!A30</f>
        <v/>
      </c>
      <c r="B8" s="15">
        <f>A8*Assumptions!$B$7</f>
        <v/>
      </c>
      <c r="C8" s="16">
        <f>Assumptions!B30</f>
        <v/>
      </c>
      <c r="D8" s="16">
        <f>Assumptions!C30</f>
        <v/>
      </c>
      <c r="E8" s="16">
        <f>Assumptions!D30</f>
        <v/>
      </c>
      <c r="F8" s="15">
        <f>(C8+D8+E8)*Assumptions!$B$3</f>
        <v/>
      </c>
      <c r="G8" s="15">
        <f>A8*Assumptions!$B$12*Assumptions!$B$3</f>
        <v/>
      </c>
      <c r="H8" s="15">
        <f>B8*Assumptions!$B$23</f>
        <v/>
      </c>
      <c r="I8" s="15">
        <f>F8+G8+H8</f>
        <v/>
      </c>
      <c r="J8" s="15">
        <f>B8-I8</f>
        <v/>
      </c>
      <c r="K8" s="17">
        <f>J8/B8</f>
        <v/>
      </c>
    </row>
    <row r="9">
      <c r="A9" s="14">
        <f>Assumptions!A31</f>
        <v/>
      </c>
      <c r="B9" s="15">
        <f>A9*Assumptions!$B$7</f>
        <v/>
      </c>
      <c r="C9" s="16">
        <f>Assumptions!B31</f>
        <v/>
      </c>
      <c r="D9" s="16">
        <f>Assumptions!C31</f>
        <v/>
      </c>
      <c r="E9" s="16">
        <f>Assumptions!D31</f>
        <v/>
      </c>
      <c r="F9" s="15">
        <f>(C9+D9+E9)*Assumptions!$B$3</f>
        <v/>
      </c>
      <c r="G9" s="15">
        <f>A9*Assumptions!$B$12*Assumptions!$B$3</f>
        <v/>
      </c>
      <c r="H9" s="15">
        <f>B9*Assumptions!$B$23</f>
        <v/>
      </c>
      <c r="I9" s="15">
        <f>F9+G9+H9</f>
        <v/>
      </c>
      <c r="J9" s="15">
        <f>B9-I9</f>
        <v/>
      </c>
      <c r="K9" s="17">
        <f>J9/B9</f>
        <v/>
      </c>
    </row>
    <row r="10">
      <c r="A10" s="14">
        <f>Assumptions!A32</f>
        <v/>
      </c>
      <c r="B10" s="15">
        <f>A10*Assumptions!$B$7</f>
        <v/>
      </c>
      <c r="C10" s="16">
        <f>Assumptions!B32</f>
        <v/>
      </c>
      <c r="D10" s="16">
        <f>Assumptions!C32</f>
        <v/>
      </c>
      <c r="E10" s="16">
        <f>Assumptions!D32</f>
        <v/>
      </c>
      <c r="F10" s="15">
        <f>(C10+D10+E10)*Assumptions!$B$3</f>
        <v/>
      </c>
      <c r="G10" s="15">
        <f>A10*Assumptions!$B$12*Assumptions!$B$3</f>
        <v/>
      </c>
      <c r="H10" s="15">
        <f>B10*Assumptions!$B$23</f>
        <v/>
      </c>
      <c r="I10" s="15">
        <f>F10+G10+H10</f>
        <v/>
      </c>
      <c r="J10" s="15">
        <f>B10-I10</f>
        <v/>
      </c>
      <c r="K10" s="17">
        <f>J10/B10</f>
        <v/>
      </c>
    </row>
    <row r="11">
      <c r="A11" s="14">
        <f>Assumptions!A33</f>
        <v/>
      </c>
      <c r="B11" s="15">
        <f>A11*Assumptions!$B$7</f>
        <v/>
      </c>
      <c r="C11" s="16">
        <f>Assumptions!B33</f>
        <v/>
      </c>
      <c r="D11" s="16">
        <f>Assumptions!C33</f>
        <v/>
      </c>
      <c r="E11" s="16">
        <f>Assumptions!D33</f>
        <v/>
      </c>
      <c r="F11" s="15">
        <f>(C11+D11+E11)*Assumptions!$B$3</f>
        <v/>
      </c>
      <c r="G11" s="15">
        <f>A11*Assumptions!$B$12*Assumptions!$B$3</f>
        <v/>
      </c>
      <c r="H11" s="15">
        <f>B11*Assumptions!$B$23</f>
        <v/>
      </c>
      <c r="I11" s="15">
        <f>F11+G11+H11</f>
        <v/>
      </c>
      <c r="J11" s="15">
        <f>B11-I11</f>
        <v/>
      </c>
      <c r="K11" s="17">
        <f>J11/B11</f>
        <v/>
      </c>
    </row>
  </sheetData>
  <mergeCells count="2">
    <mergeCell ref="A2:K2"/>
    <mergeCell ref="A1:K1"/>
  </mergeCells>
  <conditionalFormatting sqref="K5:K1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9" customWidth="1" min="3" max="3"/>
    <col width="11" customWidth="1" min="4" max="4"/>
    <col width="10" customWidth="1" min="5" max="5"/>
    <col width="15" customWidth="1" min="6" max="6"/>
    <col width="13" customWidth="1" min="7" max="7"/>
    <col width="17" customWidth="1" min="8" max="8"/>
    <col width="14" customWidth="1" min="9" max="9"/>
    <col width="15" customWidth="1" min="10" max="10"/>
    <col width="12" customWidth="1" min="11" max="11"/>
  </cols>
  <sheetData>
    <row r="1" ht="22" customHeight="1">
      <c r="A1" s="1" t="inlineStr">
        <is>
          <t>Followthroo — All Enterprise</t>
        </is>
      </c>
    </row>
    <row r="2">
      <c r="A2" s="13" t="inlineStr">
        <is>
          <t>Reference scenario: every seat on the ₹4,999 Enterprise plan (ceiling case — best realistic margin).</t>
        </is>
      </c>
    </row>
    <row r="4" ht="32" customHeight="1">
      <c r="A4" s="10" t="inlineStr">
        <is>
          <t>People
(seats)</t>
        </is>
      </c>
      <c r="B4" s="10" t="inlineStr">
        <is>
          <t>Revenue
(₹/mo)</t>
        </is>
      </c>
      <c r="C4" s="10" t="inlineStr">
        <is>
          <t>Vercel
($)</t>
        </is>
      </c>
      <c r="D4" s="10" t="inlineStr">
        <is>
          <t>Supabase
($)</t>
        </is>
      </c>
      <c r="E4" s="10" t="inlineStr">
        <is>
          <t>Upstash
($)</t>
        </is>
      </c>
      <c r="F4" s="10" t="inlineStr">
        <is>
          <t>Infra Subtotal
(₹/mo)</t>
        </is>
      </c>
      <c r="G4" s="10" t="inlineStr">
        <is>
          <t>AI Cost
(₹/mo)</t>
        </is>
      </c>
      <c r="H4" s="10" t="inlineStr">
        <is>
          <t>Payment Processing
(₹/mo)</t>
        </is>
      </c>
      <c r="I4" s="10" t="inlineStr">
        <is>
          <t>Total Cost
(₹/mo)</t>
        </is>
      </c>
      <c r="J4" s="10" t="inlineStr">
        <is>
          <t>Gross Margin
(₹/mo)</t>
        </is>
      </c>
      <c r="K4" s="10" t="inlineStr">
        <is>
          <t>Gross Margin
(%)</t>
        </is>
      </c>
    </row>
    <row r="5">
      <c r="A5" s="14">
        <f>Assumptions!A27</f>
        <v/>
      </c>
      <c r="B5" s="15">
        <f>A5*Assumptions!$B$8</f>
        <v/>
      </c>
      <c r="C5" s="16">
        <f>Assumptions!B27</f>
        <v/>
      </c>
      <c r="D5" s="16">
        <f>Assumptions!C27</f>
        <v/>
      </c>
      <c r="E5" s="16">
        <f>Assumptions!D27</f>
        <v/>
      </c>
      <c r="F5" s="15">
        <f>(C5+D5+E5)*Assumptions!$B$3</f>
        <v/>
      </c>
      <c r="G5" s="15">
        <f>A5*Assumptions!$B$13*Assumptions!$B$3</f>
        <v/>
      </c>
      <c r="H5" s="15">
        <f>B5*Assumptions!$B$23</f>
        <v/>
      </c>
      <c r="I5" s="15">
        <f>F5+G5+H5</f>
        <v/>
      </c>
      <c r="J5" s="15">
        <f>B5-I5</f>
        <v/>
      </c>
      <c r="K5" s="17">
        <f>J5/B5</f>
        <v/>
      </c>
    </row>
    <row r="6">
      <c r="A6" s="14">
        <f>Assumptions!A28</f>
        <v/>
      </c>
      <c r="B6" s="15">
        <f>A6*Assumptions!$B$8</f>
        <v/>
      </c>
      <c r="C6" s="16">
        <f>Assumptions!B28</f>
        <v/>
      </c>
      <c r="D6" s="16">
        <f>Assumptions!C28</f>
        <v/>
      </c>
      <c r="E6" s="16">
        <f>Assumptions!D28</f>
        <v/>
      </c>
      <c r="F6" s="15">
        <f>(C6+D6+E6)*Assumptions!$B$3</f>
        <v/>
      </c>
      <c r="G6" s="15">
        <f>A6*Assumptions!$B$13*Assumptions!$B$3</f>
        <v/>
      </c>
      <c r="H6" s="15">
        <f>B6*Assumptions!$B$23</f>
        <v/>
      </c>
      <c r="I6" s="15">
        <f>F6+G6+H6</f>
        <v/>
      </c>
      <c r="J6" s="15">
        <f>B6-I6</f>
        <v/>
      </c>
      <c r="K6" s="17">
        <f>J6/B6</f>
        <v/>
      </c>
    </row>
    <row r="7">
      <c r="A7" s="14">
        <f>Assumptions!A29</f>
        <v/>
      </c>
      <c r="B7" s="15">
        <f>A7*Assumptions!$B$8</f>
        <v/>
      </c>
      <c r="C7" s="16">
        <f>Assumptions!B29</f>
        <v/>
      </c>
      <c r="D7" s="16">
        <f>Assumptions!C29</f>
        <v/>
      </c>
      <c r="E7" s="16">
        <f>Assumptions!D29</f>
        <v/>
      </c>
      <c r="F7" s="15">
        <f>(C7+D7+E7)*Assumptions!$B$3</f>
        <v/>
      </c>
      <c r="G7" s="15">
        <f>A7*Assumptions!$B$13*Assumptions!$B$3</f>
        <v/>
      </c>
      <c r="H7" s="15">
        <f>B7*Assumptions!$B$23</f>
        <v/>
      </c>
      <c r="I7" s="15">
        <f>F7+G7+H7</f>
        <v/>
      </c>
      <c r="J7" s="15">
        <f>B7-I7</f>
        <v/>
      </c>
      <c r="K7" s="17">
        <f>J7/B7</f>
        <v/>
      </c>
    </row>
    <row r="8">
      <c r="A8" s="14">
        <f>Assumptions!A30</f>
        <v/>
      </c>
      <c r="B8" s="15">
        <f>A8*Assumptions!$B$8</f>
        <v/>
      </c>
      <c r="C8" s="16">
        <f>Assumptions!B30</f>
        <v/>
      </c>
      <c r="D8" s="16">
        <f>Assumptions!C30</f>
        <v/>
      </c>
      <c r="E8" s="16">
        <f>Assumptions!D30</f>
        <v/>
      </c>
      <c r="F8" s="15">
        <f>(C8+D8+E8)*Assumptions!$B$3</f>
        <v/>
      </c>
      <c r="G8" s="15">
        <f>A8*Assumptions!$B$13*Assumptions!$B$3</f>
        <v/>
      </c>
      <c r="H8" s="15">
        <f>B8*Assumptions!$B$23</f>
        <v/>
      </c>
      <c r="I8" s="15">
        <f>F8+G8+H8</f>
        <v/>
      </c>
      <c r="J8" s="15">
        <f>B8-I8</f>
        <v/>
      </c>
      <c r="K8" s="17">
        <f>J8/B8</f>
        <v/>
      </c>
    </row>
    <row r="9">
      <c r="A9" s="14">
        <f>Assumptions!A31</f>
        <v/>
      </c>
      <c r="B9" s="15">
        <f>A9*Assumptions!$B$8</f>
        <v/>
      </c>
      <c r="C9" s="16">
        <f>Assumptions!B31</f>
        <v/>
      </c>
      <c r="D9" s="16">
        <f>Assumptions!C31</f>
        <v/>
      </c>
      <c r="E9" s="16">
        <f>Assumptions!D31</f>
        <v/>
      </c>
      <c r="F9" s="15">
        <f>(C9+D9+E9)*Assumptions!$B$3</f>
        <v/>
      </c>
      <c r="G9" s="15">
        <f>A9*Assumptions!$B$13*Assumptions!$B$3</f>
        <v/>
      </c>
      <c r="H9" s="15">
        <f>B9*Assumptions!$B$23</f>
        <v/>
      </c>
      <c r="I9" s="15">
        <f>F9+G9+H9</f>
        <v/>
      </c>
      <c r="J9" s="15">
        <f>B9-I9</f>
        <v/>
      </c>
      <c r="K9" s="17">
        <f>J9/B9</f>
        <v/>
      </c>
    </row>
    <row r="10">
      <c r="A10" s="14">
        <f>Assumptions!A32</f>
        <v/>
      </c>
      <c r="B10" s="15">
        <f>A10*Assumptions!$B$8</f>
        <v/>
      </c>
      <c r="C10" s="16">
        <f>Assumptions!B32</f>
        <v/>
      </c>
      <c r="D10" s="16">
        <f>Assumptions!C32</f>
        <v/>
      </c>
      <c r="E10" s="16">
        <f>Assumptions!D32</f>
        <v/>
      </c>
      <c r="F10" s="15">
        <f>(C10+D10+E10)*Assumptions!$B$3</f>
        <v/>
      </c>
      <c r="G10" s="15">
        <f>A10*Assumptions!$B$13*Assumptions!$B$3</f>
        <v/>
      </c>
      <c r="H10" s="15">
        <f>B10*Assumptions!$B$23</f>
        <v/>
      </c>
      <c r="I10" s="15">
        <f>F10+G10+H10</f>
        <v/>
      </c>
      <c r="J10" s="15">
        <f>B10-I10</f>
        <v/>
      </c>
      <c r="K10" s="17">
        <f>J10/B10</f>
        <v/>
      </c>
    </row>
    <row r="11">
      <c r="A11" s="14">
        <f>Assumptions!A33</f>
        <v/>
      </c>
      <c r="B11" s="15">
        <f>A11*Assumptions!$B$8</f>
        <v/>
      </c>
      <c r="C11" s="16">
        <f>Assumptions!B33</f>
        <v/>
      </c>
      <c r="D11" s="16">
        <f>Assumptions!C33</f>
        <v/>
      </c>
      <c r="E11" s="16">
        <f>Assumptions!D33</f>
        <v/>
      </c>
      <c r="F11" s="15">
        <f>(C11+D11+E11)*Assumptions!$B$3</f>
        <v/>
      </c>
      <c r="G11" s="15">
        <f>A11*Assumptions!$B$13*Assumptions!$B$3</f>
        <v/>
      </c>
      <c r="H11" s="15">
        <f>B11*Assumptions!$B$23</f>
        <v/>
      </c>
      <c r="I11" s="15">
        <f>F11+G11+H11</f>
        <v/>
      </c>
      <c r="J11" s="15">
        <f>B11-I11</f>
        <v/>
      </c>
      <c r="K11" s="17">
        <f>J11/B11</f>
        <v/>
      </c>
    </row>
  </sheetData>
  <mergeCells count="2">
    <mergeCell ref="A2:K2"/>
    <mergeCell ref="A1:K1"/>
  </mergeCells>
  <conditionalFormatting sqref="K5:K1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2026-08-14T13:41:36Z</dcterms:created>
  <dcterms:modified xmlns:dcterms="http://purl.org/dc/terms/" xmlns:xsi="http://www.w3.org/2001/XMLSchema-instance" xsi:type="dcterms:W3CDTF">2026-08-14T13:41:36Z</dcterms:modified>
</cp:coreProperties>
</file>